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S 178519\Downloads\"/>
    </mc:Choice>
  </mc:AlternateContent>
  <xr:revisionPtr revIDLastSave="0" documentId="13_ncr:1_{270E5C15-DF6C-47E1-9705-5CA157C61C4B}" xr6:coauthVersionLast="47" xr6:coauthVersionMax="47" xr10:uidLastSave="{00000000-0000-0000-0000-000000000000}"/>
  <bookViews>
    <workbookView xWindow="-25680" yWindow="1215" windowWidth="16830" windowHeight="13470" xr2:uid="{F35B202C-DCFD-4FC5-94C5-CE5A4C93D457}"/>
  </bookViews>
  <sheets>
    <sheet name="CONSULTA" sheetId="2" r:id="rId1"/>
  </sheets>
  <definedNames>
    <definedName name="_xlnm.Print_Area" localSheetId="0">CONSULTA!$B$2:$J$30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2" l="1"/>
  <c r="F30" i="2"/>
</calcChain>
</file>

<file path=xl/sharedStrings.xml><?xml version="1.0" encoding="utf-8"?>
<sst xmlns="http://schemas.openxmlformats.org/spreadsheetml/2006/main" count="136" uniqueCount="65">
  <si>
    <t>División Financiera</t>
  </si>
  <si>
    <t>Sección de Inventarios</t>
  </si>
  <si>
    <t>Consulta de Elementos</t>
  </si>
  <si>
    <t>Elementos MAYORES</t>
  </si>
  <si>
    <t>Descripción</t>
  </si>
  <si>
    <t>U.A.A.</t>
  </si>
  <si>
    <t>6570 - ESCUELA DE ING.DE SISTEMAS</t>
  </si>
  <si>
    <t>No. Inv.</t>
  </si>
  <si>
    <t>Marca</t>
  </si>
  <si>
    <t>Serial</t>
  </si>
  <si>
    <t>Valor</t>
  </si>
  <si>
    <t>Fecha Recibido</t>
  </si>
  <si>
    <t>Ubicación</t>
  </si>
  <si>
    <t>Responsable</t>
  </si>
  <si>
    <t>Foto</t>
  </si>
  <si>
    <t>VENTILADOR DE SOBREMESA SERIE 01529</t>
  </si>
  <si>
    <t>SHIMASU</t>
  </si>
  <si>
    <t>MARCADO</t>
  </si>
  <si>
    <t>19/10/2006</t>
  </si>
  <si>
    <t>LABORATORIOS PESADOS</t>
  </si>
  <si>
    <t>FERNANDO ANTONIO ROJAS MORALES</t>
  </si>
  <si>
    <t>📷</t>
  </si>
  <si>
    <t>TABLET NEW IPAD 64 GB WIFI + 4 G BLACK **SEGUN COTIZACION 13100 DE NOVIEMBRE 20/2012, NEXUS (1)</t>
  </si>
  <si>
    <t>APPLE</t>
  </si>
  <si>
    <t>DYTJ6DNRDVGJ</t>
  </si>
  <si>
    <t>22/11/2012</t>
  </si>
  <si>
    <t>COMPUTADOR  MODELO OPTIPLEX 9010 MINITORRE, PROCESADOR INTEL CORE I7 3770 3RA GENERACION, SEGUN COTIZACION 54818587.</t>
  </si>
  <si>
    <t>DELL</t>
  </si>
  <si>
    <t>JV368Y1</t>
  </si>
  <si>
    <t>17/09/2013</t>
  </si>
  <si>
    <t>COMPUTADOR DE ESCRITORIO DELL OPTIPLEX 9020 INTEL CORE I7 4770, RAM DE 8 GB, DISCO DURO DE 1 TB, MONITOR DE 22 PULGADAS.                            (SISTEMAS)</t>
  </si>
  <si>
    <t>829PM22</t>
  </si>
  <si>
    <t>25/07/2023</t>
  </si>
  <si>
    <t>ROJAS MORALES FERNANDO ANTONIO</t>
  </si>
  <si>
    <t>PUESTO DE TRABAJO TIPO I 1.50 X 1.50 MTS (LP 232)</t>
  </si>
  <si>
    <t>SILLA S3-A TIPO ISONET (SISTEMAS LP 223)</t>
  </si>
  <si>
    <t>TELEFONO IP MOD: 9620</t>
  </si>
  <si>
    <t>AVAYA</t>
  </si>
  <si>
    <t>09N502308461</t>
  </si>
  <si>
    <t>26/07/2016</t>
  </si>
  <si>
    <t>COMPUTADOR PORTATIL MARCA HP PROBOOK 440 G5 DE 14 PULGADAS PROCESADOR INTEL CORE I5 8250U 1.6 GHZ  MEMORIA RAM DE 8 GB DDR4 DISCO DURO DE 256 SSD M.2 WEB CAM  ACCESORIOS: MALETIN Y MOUSE CON LICENCIA DE WINDOW 10 HOME EDICION 64 BITS</t>
  </si>
  <si>
    <t>HP</t>
  </si>
  <si>
    <t>5CD9053BPV</t>
  </si>
  <si>
    <t>13/03/2024</t>
  </si>
  <si>
    <t>CENTIC</t>
  </si>
  <si>
    <t>TABLET SAMSUNG GALAXY TAB A 8.0 WIFI - 16GB</t>
  </si>
  <si>
    <t>SAMSUNG</t>
  </si>
  <si>
    <t>R52M60H33SW</t>
  </si>
  <si>
    <t>LABORATORIOS PESADOS, ASIGNADA AL PROFESOR FERNANDO ROJAS DE LA ESCUELA DE ING. DE SISTEMAS, OFICINA DOCENTE.</t>
  </si>
  <si>
    <t>COMPUTADOR PORTATIL NOTEBOOK TP L490, PROCESADOR CORE I5, MEMORIA 8GB, 256GB SSD, W10P, WARRANTY 3Y ONSITE</t>
  </si>
  <si>
    <t>LENOVO</t>
  </si>
  <si>
    <t>PF-2BJ9JF</t>
  </si>
  <si>
    <t>CENTIC, ESTE ELEMENTO SERA TRASLADADO A LA RESIDENCIA DEL FUNCIONARIO</t>
  </si>
  <si>
    <t>COMPUTADOR PORTÁTIL.</t>
  </si>
  <si>
    <t>HP PRO BOOK 440 G10</t>
  </si>
  <si>
    <t>5CD347F2N5</t>
  </si>
  <si>
    <t>PUESTO DE TRABAJO EN U, PARA OFICINA DE PROFESOR, INCLUYE 3 SUPERFICIES, 3 PEDESTALES METáLICOS EN U, ARCHIVADOR DE 3 CAJONES, FALDóN FRONTAL Y PERFORACIONES PASACABLES</t>
  </si>
  <si>
    <t>VENTANAR</t>
  </si>
  <si>
    <t>SIN</t>
  </si>
  <si>
    <t>SILLA OPERATIVA GIRATORIA REFERENCIA WIWA O SIMILAR, CON ESPALDAR ALTO EN MALLA GRADUABLE UP DOWN, MECANISMO SYPR MOVIMIENTO SINCRONIZADO DE 2 PALANCAS Y 5 POSICIONES DE BLOQUEO, ASIENTO TAPIZADO EN PRANNA, ESPUMA DE ALTA DENSIDAD, SISTEMA DE TENSIóN CON PERILL</t>
  </si>
  <si>
    <t>TABLERO EN FORMICA EXPOGRAFO EN FORMICA PIZARRóN BRILLANTE, COLGADO A PARED CON SISTEMA COLA DE PATO, MARCO EN ALUMINIO EN PINTURA ELECTROESTáTICA, PORTA BORRADOR EN ACERO INOXIDABLE</t>
  </si>
  <si>
    <t>MODULO ALMACENAMIENTO VERTICAL TIPO FOLDERAMA EN MADECOR CON ENTRE PAñOS INTERNOS - 3 ESPACIOS UTILES</t>
  </si>
  <si>
    <t>SILLA INTERLOCUTORA REFERENCIA BARU O SIMILAR, CON ASIENTO TAPIZADO EN PRANNA, ESPUMA DE ALTA DENSIDAD, ESPALDAR PLáSTICO MICROPERFORADO, ESTRUCTURA DE 4 PATAS EN PINTURA ELECTROESTáTICA</t>
  </si>
  <si>
    <t>BIBLIOTECA BAJA CON ENTREPAñO Y PUERTAS.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</si>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</sst>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\ * #,##0.00_-;\-&quot;$&quot;\ * #,##0.00_-;_-&quot;$&quot;\ * &quot;-&quot;\ _-;_-@_-"/>
  </numFmts>
  <fonts count="3">
    <font>
      <sz val="11"/>
      <color theme="1"/>
      <name val="Calibri"/>
      <family val="2"/>
      <scheme val="minor"/>
    </font>
    <font>
      <sz val="12"/>
      <color theme="1"/>
      <name val="JetBrains Mono"/>
      <family val="3"/>
    </font>
    <font>
      <sz val="50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5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50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numFmt numFmtId="164" formatCode="_-&quot;$&quot;\ * #,##0.00_-;\-&quot;$&quot;\ * #,##0.00_-;_-&quot;$&quot;\ * &quot;-&quot;\ 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numFmt numFmtId="164" formatCode="_-&quot;$&quot;\ * #,##0.00_-;\-&quot;$&quot;\ * #,##0.00_-;_-&quot;$&quot;\ * &quot;-&quot;\ 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etBrains Mono"/>
        <family val="3"/>
        <scheme val="none"/>
      </font>
      <alignment horizontal="center" vertical="center" textRotation="0" wrapText="1" indent="0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 val="0"/>
        <i val="0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</border>
    </dxf>
  </dxfs>
  <tableStyles count="1" defaultTableStyle="TableStyleMedium2" defaultPivotStyle="PivotStyleLight16">
    <tableStyle name="Custom" pivot="0" count="9" xr9:uid="{C1923CB6-713E-4C2C-B47E-B98243C85FDC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secondRowStripe" dxfId="23"/>
      <tableStyleElement type="firstColumnStripe" dxfId="22"/>
      <tableStyleElement type="secondColumn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31750</xdr:colOff>
      <xdr:row>1</xdr:row>
      <xdr:rowOff>79375</xdr:rowOff>
    </xdr:from>
    <xdr:to>
      <xdr:col>2</xdr:col>
      <xdr:colOff>1038721</xdr:colOff>
      <xdr:row>5</xdr:row>
      <xdr:rowOff>79375</xdr:rowOff>
    </xdr:to>
    <xdr:pic>
      <xdr:nvPicPr>
        <xdr:cNvPr id="2" name="LogoUIS">
          <a:extLst>
            <a:ext uri="{FF2B5EF4-FFF2-40B4-BE49-F238E27FC236}">
              <a16:creationId xmlns:a16="http://schemas.microsoft.com/office/drawing/2014/main" id="{ED614C2F-3203-4566-884E-4CAD42A94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" y="288925"/>
          <a:ext cx="2121396" cy="838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68F4869-4CE4-41F0-9D0B-0BF8EEE7CF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20955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5E3C5B6-700B-483C-BD69-E5E30BD58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35242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CD89523-B52E-4837-B051-81801A542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49530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1AD63F5-0B8C-4FC1-AED8-291A3D534A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63817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43F78E0-3549-4924-B133-9EF1919E2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78105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B3F7AE4-0739-4781-980F-C552B23C52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92392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85F15F6-E17B-4FB0-BC04-0C4F302F3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06680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1EDC880-882E-4798-832B-902BFFFB5B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20967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48CF955-4404-4280-8B6F-EA2BDEC49E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35255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33AA18F-31D4-4943-B87B-634E1B938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49542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1760AB4-DB39-471C-934B-CDE30222F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63830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10</xdr:col>
      <xdr:colOff>0</xdr:colOff>
      <xdr:row>22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0433CE9-DF60-4AB9-A411-9EF349ACE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78117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0</xdr:colOff>
      <xdr:row>23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97077B7-8D6D-4E91-A866-5D7A5A393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92405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10</xdr:col>
      <xdr:colOff>0</xdr:colOff>
      <xdr:row>24</xdr:row>
      <xdr:rowOff>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C16354F-C1DF-4EE7-BBED-95A7A3BF0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206692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10</xdr:col>
      <xdr:colOff>0</xdr:colOff>
      <xdr:row>25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FEF660E-15B5-4CE4-83B2-6BFE5F8B7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220980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0</xdr:colOff>
      <xdr:row>26</xdr:row>
      <xdr:rowOff>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BD5A091-2E89-48BC-BC1E-9BC2E511F9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235267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10</xdr:col>
      <xdr:colOff>0</xdr:colOff>
      <xdr:row>27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D202592-8D71-4CA7-B71B-4310A53C88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2495550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10</xdr:col>
      <xdr:colOff>0</xdr:colOff>
      <xdr:row>28</xdr:row>
      <xdr:rowOff>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E46C853-0AC6-46D0-930C-E8630B7FF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26384250"/>
          <a:ext cx="1619250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10</xdr:col>
      <xdr:colOff>0</xdr:colOff>
      <xdr:row>29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98FAF89-BAC5-450E-993B-D434B909D7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27813000"/>
          <a:ext cx="1619250" cy="1428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75593-D26A-422F-93F7-BA5F54DDA94D}" name="table6570" displayName="table6570" ref="B10:J30" totalsRowCount="1" headerRowDxfId="20" dataDxfId="19" totalsRowDxfId="18">
  <autoFilter ref="B10:J29" xr:uid="{C4BB5DF7-3A23-4DF0-B9F5-5DC07C8BF297}"/>
  <tableColumns count="9">
    <tableColumn id="1" xr3:uid="{4DB86347-496D-4B68-8DD8-43E6A8E04DA0}" name="No. Inv." totalsRowLabel="Total" dataDxfId="16" totalsRowDxfId="17"/>
    <tableColumn id="2" xr3:uid="{527290B1-08A3-4464-A903-BF8D73DA45AF}" name="Descripción" dataDxfId="14" totalsRowDxfId="15"/>
    <tableColumn id="3" xr3:uid="{FE3501D9-6688-4683-A420-6B00710E9DAD}" name="Marca" dataDxfId="12" totalsRowDxfId="13"/>
    <tableColumn id="4" xr3:uid="{0C552082-06F8-444F-B102-C083F295F797}" name="Serial" dataDxfId="10" totalsRowDxfId="11"/>
    <tableColumn id="5" xr3:uid="{85297388-9CC5-457B-BF26-0F6470C6ED9D}" name="Valor" totalsRowFunction="sum" dataDxfId="8" totalsRowDxfId="9"/>
    <tableColumn id="6" xr3:uid="{F032E9BA-C15F-4E0D-B52E-8A18D80B3183}" name="Fecha Recibido" dataDxfId="6" totalsRowDxfId="7"/>
    <tableColumn id="7" xr3:uid="{68F90892-4079-4478-91CC-6C34CF35E07C}" name="Ubicación" dataDxfId="4" totalsRowDxfId="5"/>
    <tableColumn id="8" xr3:uid="{00017721-BCBD-4EFF-A5C7-9DCA95600F94}" name="Responsable" dataDxfId="2" totalsRowDxfId="3"/>
    <tableColumn id="9" xr3:uid="{A0F67572-207B-441E-9A5B-FDB2BFDD0690}" name="Foto" totalsRowFunction="count" dataDxfId="0" totalsRowDxfId="1"/>
  </tableColumns>
  <tableStyleInfo name="Custom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4B5A-80D0-4CB7-96AA-BBB48AB237DE}">
  <sheetPr codeName="Hoja2">
    <tabColor theme="5" tint="0.39997558519241921"/>
    <pageSetUpPr fitToPage="1"/>
  </sheetPr>
  <dimension ref="B2:J205"/>
  <sheetViews>
    <sheetView showGridLines="0" tabSelected="1" topLeftCell="B1" zoomScale="85" zoomScaleNormal="85" zoomScalePageLayoutView="85" workbookViewId="0">
      <pane ySplit="7" topLeftCell="A8" activePane="bottomLeft" state="frozen"/>
      <selection pane="bottomLeft" activeCell="K10" sqref="K10"/>
    </sheetView>
  </sheetViews>
  <sheetFormatPr baseColWidth="10" defaultColWidth="11.42578125" defaultRowHeight="16.5" customHeight="1" outlineLevelCol="1"/>
  <cols>
    <col min="1" max="1" width="3" style="1" customWidth="1"/>
    <col min="2" max="2" width="16.7109375" style="1" customWidth="1"/>
    <col min="3" max="3" width="40.7109375" style="1" customWidth="1"/>
    <col min="4" max="5" width="16.7109375" style="1" customWidth="1" outlineLevel="1"/>
    <col min="6" max="6" width="27.28515625" style="1" customWidth="1"/>
    <col min="7" max="7" width="18.7109375" style="1" customWidth="1"/>
    <col min="8" max="8" width="25.7109375" style="1" customWidth="1"/>
    <col min="9" max="9" width="25.7109375" style="1" customWidth="1" outlineLevel="1"/>
    <col min="10" max="10" width="24.28515625" style="1" customWidth="1"/>
    <col min="11" max="11" width="11.42578125" style="1" customWidth="1"/>
    <col min="12" max="16382" width="11.42578125" style="1"/>
    <col min="16383" max="16384" width="8.7109375" style="1" customWidth="1"/>
  </cols>
  <sheetData>
    <row r="2" spans="2:10" ht="16.5" customHeight="1">
      <c r="C2" s="2" t="s">
        <v>0</v>
      </c>
    </row>
    <row r="3" spans="2:10" ht="16.5" customHeight="1">
      <c r="C3" s="2" t="s">
        <v>1</v>
      </c>
    </row>
    <row r="4" spans="2:10" ht="16.5" customHeight="1">
      <c r="C4" s="2" t="s">
        <v>2</v>
      </c>
    </row>
    <row r="5" spans="2:10" ht="16.5" customHeight="1">
      <c r="C5" s="2" t="s">
        <v>3</v>
      </c>
    </row>
    <row r="7" spans="2:10" ht="16.5" customHeight="1" thickBot="1">
      <c r="B7" s="3" t="s">
        <v>4</v>
      </c>
      <c r="C7" s="4"/>
      <c r="D7" s="4"/>
      <c r="E7" s="4"/>
      <c r="F7" s="4"/>
      <c r="G7" s="4"/>
      <c r="H7" s="4"/>
      <c r="I7" s="4"/>
      <c r="J7" s="4"/>
    </row>
    <row r="8" spans="2:10" ht="16.5" customHeight="1" thickTop="1"/>
    <row r="9" spans="2:10" ht="16.5" customHeight="1">
      <c r="B9" s="5" t="s">
        <v>5</v>
      </c>
      <c r="C9" s="6" t="s">
        <v>6</v>
      </c>
      <c r="D9" s="6"/>
      <c r="E9" s="6"/>
      <c r="F9" s="6"/>
      <c r="G9" s="6"/>
      <c r="H9" s="6"/>
      <c r="I9" s="6"/>
      <c r="J9" s="6"/>
    </row>
    <row r="10" spans="2:10" ht="16.5" customHeight="1">
      <c r="B10" s="7" t="s">
        <v>7</v>
      </c>
      <c r="C10" s="7" t="s">
        <v>4</v>
      </c>
      <c r="D10" s="7" t="s">
        <v>8</v>
      </c>
      <c r="E10" s="7" t="s">
        <v>9</v>
      </c>
      <c r="F10" s="8" t="s">
        <v>10</v>
      </c>
      <c r="G10" s="7" t="s">
        <v>11</v>
      </c>
      <c r="H10" s="7" t="s">
        <v>12</v>
      </c>
      <c r="I10" s="7" t="s">
        <v>13</v>
      </c>
      <c r="J10" s="7" t="s">
        <v>14</v>
      </c>
    </row>
    <row r="11" spans="2:10" ht="112.5" customHeight="1">
      <c r="B11" s="7">
        <v>22090</v>
      </c>
      <c r="C11" s="9" t="s">
        <v>15</v>
      </c>
      <c r="D11" s="7" t="s">
        <v>16</v>
      </c>
      <c r="E11" s="7" t="s">
        <v>17</v>
      </c>
      <c r="F11" s="8">
        <v>25170.2</v>
      </c>
      <c r="G11" s="7" t="s">
        <v>18</v>
      </c>
      <c r="H11" s="7" t="s">
        <v>19</v>
      </c>
      <c r="I11" s="7" t="s">
        <v>20</v>
      </c>
      <c r="J11" s="10" t="s">
        <v>21</v>
      </c>
    </row>
    <row r="12" spans="2:10" ht="112.5" customHeight="1">
      <c r="B12" s="7">
        <v>106737</v>
      </c>
      <c r="C12" s="9" t="s">
        <v>22</v>
      </c>
      <c r="D12" s="7" t="s">
        <v>23</v>
      </c>
      <c r="E12" s="7" t="s">
        <v>24</v>
      </c>
      <c r="F12" s="8">
        <v>1600000</v>
      </c>
      <c r="G12" s="7" t="s">
        <v>25</v>
      </c>
      <c r="H12" s="7" t="s">
        <v>19</v>
      </c>
      <c r="I12" s="7" t="s">
        <v>20</v>
      </c>
      <c r="J12" s="10" t="s">
        <v>21</v>
      </c>
    </row>
    <row r="13" spans="2:10" ht="112.5" customHeight="1">
      <c r="B13" s="7">
        <v>110081</v>
      </c>
      <c r="C13" s="9" t="s">
        <v>26</v>
      </c>
      <c r="D13" s="7" t="s">
        <v>27</v>
      </c>
      <c r="E13" s="7" t="s">
        <v>28</v>
      </c>
      <c r="F13" s="8">
        <v>1828000</v>
      </c>
      <c r="G13" s="7" t="s">
        <v>29</v>
      </c>
      <c r="H13" s="7" t="s">
        <v>19</v>
      </c>
      <c r="I13" s="7" t="s">
        <v>20</v>
      </c>
      <c r="J13" s="10" t="s">
        <v>21</v>
      </c>
    </row>
    <row r="14" spans="2:10" ht="112.5" customHeight="1">
      <c r="B14" s="7">
        <v>116842</v>
      </c>
      <c r="C14" s="9" t="s">
        <v>30</v>
      </c>
      <c r="D14" s="7" t="s">
        <v>27</v>
      </c>
      <c r="E14" s="7" t="s">
        <v>31</v>
      </c>
      <c r="F14" s="8">
        <v>2040900</v>
      </c>
      <c r="G14" s="7" t="s">
        <v>32</v>
      </c>
      <c r="H14" s="7" t="s">
        <v>19</v>
      </c>
      <c r="I14" s="7" t="s">
        <v>33</v>
      </c>
      <c r="J14" s="10" t="s">
        <v>21</v>
      </c>
    </row>
    <row r="15" spans="2:10" ht="112.5" customHeight="1">
      <c r="B15" s="7">
        <v>126626</v>
      </c>
      <c r="C15" s="9" t="s">
        <v>34</v>
      </c>
      <c r="D15" s="7"/>
      <c r="E15" s="7" t="s">
        <v>17</v>
      </c>
      <c r="F15" s="8">
        <v>1590349</v>
      </c>
      <c r="G15" s="11">
        <v>43625</v>
      </c>
      <c r="H15" s="7" t="s">
        <v>19</v>
      </c>
      <c r="I15" s="7" t="s">
        <v>33</v>
      </c>
      <c r="J15" s="10" t="s">
        <v>21</v>
      </c>
    </row>
    <row r="16" spans="2:10" ht="112.5" customHeight="1">
      <c r="B16" s="7">
        <v>127748</v>
      </c>
      <c r="C16" s="9" t="s">
        <v>35</v>
      </c>
      <c r="D16" s="7"/>
      <c r="E16" s="7" t="s">
        <v>17</v>
      </c>
      <c r="F16" s="8">
        <v>141500</v>
      </c>
      <c r="G16" s="11">
        <v>42494</v>
      </c>
      <c r="H16" s="7" t="s">
        <v>19</v>
      </c>
      <c r="I16" s="7" t="s">
        <v>20</v>
      </c>
      <c r="J16" s="10" t="s">
        <v>21</v>
      </c>
    </row>
    <row r="17" spans="2:10" ht="112.5" customHeight="1">
      <c r="B17" s="7">
        <v>127749</v>
      </c>
      <c r="C17" s="9" t="s">
        <v>35</v>
      </c>
      <c r="D17" s="7"/>
      <c r="E17" s="7" t="s">
        <v>17</v>
      </c>
      <c r="F17" s="8">
        <v>141500</v>
      </c>
      <c r="G17" s="11">
        <v>42494</v>
      </c>
      <c r="H17" s="7" t="s">
        <v>19</v>
      </c>
      <c r="I17" s="7" t="s">
        <v>20</v>
      </c>
      <c r="J17" s="10" t="s">
        <v>21</v>
      </c>
    </row>
    <row r="18" spans="2:10" ht="112.5" customHeight="1">
      <c r="B18" s="7">
        <v>131102</v>
      </c>
      <c r="C18" s="9" t="s">
        <v>36</v>
      </c>
      <c r="D18" s="7" t="s">
        <v>37</v>
      </c>
      <c r="E18" s="7" t="s">
        <v>38</v>
      </c>
      <c r="F18" s="8">
        <v>644000</v>
      </c>
      <c r="G18" s="11" t="s">
        <v>39</v>
      </c>
      <c r="H18" s="7" t="s">
        <v>19</v>
      </c>
      <c r="I18" s="7" t="s">
        <v>20</v>
      </c>
      <c r="J18" s="10" t="s">
        <v>21</v>
      </c>
    </row>
    <row r="19" spans="2:10" ht="112.5" customHeight="1">
      <c r="B19" s="7">
        <v>153211</v>
      </c>
      <c r="C19" s="9" t="s">
        <v>40</v>
      </c>
      <c r="D19" s="7" t="s">
        <v>41</v>
      </c>
      <c r="E19" s="7" t="s">
        <v>42</v>
      </c>
      <c r="F19" s="8">
        <v>2099261</v>
      </c>
      <c r="G19" s="11" t="s">
        <v>43</v>
      </c>
      <c r="H19" s="7" t="s">
        <v>44</v>
      </c>
      <c r="I19" s="7" t="s">
        <v>33</v>
      </c>
      <c r="J19" s="10" t="s">
        <v>21</v>
      </c>
    </row>
    <row r="20" spans="2:10" ht="112.5" customHeight="1">
      <c r="B20" s="7">
        <v>155451</v>
      </c>
      <c r="C20" s="9" t="s">
        <v>45</v>
      </c>
      <c r="D20" s="7" t="s">
        <v>46</v>
      </c>
      <c r="E20" s="7" t="s">
        <v>47</v>
      </c>
      <c r="F20" s="8">
        <v>519200</v>
      </c>
      <c r="G20" s="11">
        <v>43954</v>
      </c>
      <c r="H20" s="7" t="s">
        <v>48</v>
      </c>
      <c r="I20" s="7" t="s">
        <v>20</v>
      </c>
      <c r="J20" s="10" t="s">
        <v>21</v>
      </c>
    </row>
    <row r="21" spans="2:10" ht="112.5" customHeight="1">
      <c r="B21" s="7">
        <v>160776</v>
      </c>
      <c r="C21" s="9" t="s">
        <v>49</v>
      </c>
      <c r="D21" s="7" t="s">
        <v>50</v>
      </c>
      <c r="E21" s="7" t="s">
        <v>51</v>
      </c>
      <c r="F21" s="8">
        <v>2701800</v>
      </c>
      <c r="G21" s="11" t="s">
        <v>43</v>
      </c>
      <c r="H21" s="7" t="s">
        <v>52</v>
      </c>
      <c r="I21" s="7" t="s">
        <v>33</v>
      </c>
      <c r="J21" s="10" t="s">
        <v>21</v>
      </c>
    </row>
    <row r="22" spans="2:10" ht="112.5" customHeight="1">
      <c r="B22" s="7">
        <v>178524</v>
      </c>
      <c r="C22" s="9" t="s">
        <v>53</v>
      </c>
      <c r="D22" s="7" t="s">
        <v>54</v>
      </c>
      <c r="E22" s="7" t="s">
        <v>55</v>
      </c>
      <c r="F22" s="8">
        <v>2581200</v>
      </c>
      <c r="G22" s="11" t="s">
        <v>43</v>
      </c>
      <c r="H22" s="7" t="s">
        <v>19</v>
      </c>
      <c r="I22" s="7" t="s">
        <v>33</v>
      </c>
      <c r="J22" s="10" t="s">
        <v>21</v>
      </c>
    </row>
    <row r="23" spans="2:10" ht="112.5" customHeight="1">
      <c r="B23" s="7">
        <v>178697</v>
      </c>
      <c r="C23" s="9" t="s">
        <v>56</v>
      </c>
      <c r="D23" s="7" t="s">
        <v>57</v>
      </c>
      <c r="E23" s="7" t="s">
        <v>58</v>
      </c>
      <c r="F23" s="8">
        <v>3000000</v>
      </c>
      <c r="G23" s="11">
        <v>45632</v>
      </c>
      <c r="H23" s="7" t="s">
        <v>19</v>
      </c>
      <c r="I23" s="7" t="s">
        <v>20</v>
      </c>
      <c r="J23" s="10" t="s">
        <v>21</v>
      </c>
    </row>
    <row r="24" spans="2:10" ht="112.5" customHeight="1">
      <c r="B24" s="7">
        <v>178721</v>
      </c>
      <c r="C24" s="9" t="s">
        <v>59</v>
      </c>
      <c r="D24" s="7" t="s">
        <v>57</v>
      </c>
      <c r="E24" s="7" t="s">
        <v>58</v>
      </c>
      <c r="F24" s="8">
        <v>909999.3</v>
      </c>
      <c r="G24" s="11">
        <v>45632</v>
      </c>
      <c r="H24" s="7" t="s">
        <v>19</v>
      </c>
      <c r="I24" s="7" t="s">
        <v>20</v>
      </c>
      <c r="J24" s="10" t="s">
        <v>21</v>
      </c>
    </row>
    <row r="25" spans="2:10" ht="112.5" customHeight="1">
      <c r="B25" s="7">
        <v>178745</v>
      </c>
      <c r="C25" s="9" t="s">
        <v>60</v>
      </c>
      <c r="D25" s="7" t="s">
        <v>57</v>
      </c>
      <c r="E25" s="7" t="s">
        <v>58</v>
      </c>
      <c r="F25" s="8">
        <v>860000</v>
      </c>
      <c r="G25" s="11">
        <v>45632</v>
      </c>
      <c r="H25" s="7" t="s">
        <v>19</v>
      </c>
      <c r="I25" s="7" t="s">
        <v>20</v>
      </c>
      <c r="J25" s="10" t="s">
        <v>21</v>
      </c>
    </row>
    <row r="26" spans="2:10" ht="112.5" customHeight="1">
      <c r="B26" s="7">
        <v>178769</v>
      </c>
      <c r="C26" s="9" t="s">
        <v>61</v>
      </c>
      <c r="D26" s="7" t="s">
        <v>57</v>
      </c>
      <c r="E26" s="7" t="s">
        <v>58</v>
      </c>
      <c r="F26" s="8">
        <v>1650000</v>
      </c>
      <c r="G26" s="11">
        <v>45632</v>
      </c>
      <c r="H26" s="7" t="s">
        <v>19</v>
      </c>
      <c r="I26" s="7" t="s">
        <v>20</v>
      </c>
      <c r="J26" s="10" t="s">
        <v>21</v>
      </c>
    </row>
    <row r="27" spans="2:10" ht="112.5" customHeight="1">
      <c r="B27" s="7">
        <v>178849</v>
      </c>
      <c r="C27" s="9" t="s">
        <v>62</v>
      </c>
      <c r="D27" s="7" t="s">
        <v>57</v>
      </c>
      <c r="E27" s="7" t="s">
        <v>58</v>
      </c>
      <c r="F27" s="8">
        <v>405000</v>
      </c>
      <c r="G27" s="11">
        <v>45632</v>
      </c>
      <c r="H27" s="7" t="s">
        <v>19</v>
      </c>
      <c r="I27" s="7" t="s">
        <v>20</v>
      </c>
      <c r="J27" s="10" t="s">
        <v>21</v>
      </c>
    </row>
    <row r="28" spans="2:10" ht="112.5" customHeight="1">
      <c r="B28" s="7">
        <v>178850</v>
      </c>
      <c r="C28" s="9" t="s">
        <v>62</v>
      </c>
      <c r="D28" s="7" t="s">
        <v>57</v>
      </c>
      <c r="E28" s="7" t="s">
        <v>58</v>
      </c>
      <c r="F28" s="8">
        <v>405000</v>
      </c>
      <c r="G28" s="11">
        <v>45632</v>
      </c>
      <c r="H28" s="7" t="s">
        <v>19</v>
      </c>
      <c r="I28" s="7" t="s">
        <v>20</v>
      </c>
      <c r="J28" s="10" t="s">
        <v>21</v>
      </c>
    </row>
    <row r="29" spans="2:10" ht="112.5" customHeight="1">
      <c r="B29" s="7">
        <v>178883</v>
      </c>
      <c r="C29" s="9" t="s">
        <v>63</v>
      </c>
      <c r="D29" s="7" t="s">
        <v>57</v>
      </c>
      <c r="E29" s="7" t="s">
        <v>58</v>
      </c>
      <c r="F29" s="8">
        <v>520000</v>
      </c>
      <c r="G29" s="11">
        <v>45632</v>
      </c>
      <c r="H29" s="7" t="s">
        <v>19</v>
      </c>
      <c r="I29" s="7" t="s">
        <v>20</v>
      </c>
      <c r="J29" s="10" t="s">
        <v>21</v>
      </c>
    </row>
    <row r="30" spans="2:10" ht="15.95" customHeight="1">
      <c r="B30" s="1" t="s">
        <v>64</v>
      </c>
      <c r="F30" s="12">
        <f>SUBTOTAL(109,table6570[Valor])</f>
        <v>23662879.5</v>
      </c>
      <c r="J30" s="1">
        <f>SUBTOTAL(103,table6570[Foto])</f>
        <v>19</v>
      </c>
    </row>
    <row r="205" spans="7:7" ht="16.5" customHeight="1">
      <c r="G205" s="1">
        <v>0</v>
      </c>
    </row>
  </sheetData>
  <mergeCells count="2">
    <mergeCell ref="C7:J7"/>
    <mergeCell ref="C9:J9"/>
  </mergeCells>
  <printOptions horizontalCentered="1"/>
  <pageMargins left="1.1811023622047245" right="0.39370078740157483" top="0.39370078740157483" bottom="0.39370078740157483" header="0" footer="0"/>
  <pageSetup scale="56" fitToHeight="0" orientation="landscape" horizontalDpi="4294967295" verticalDpi="4294967295" r:id="rId1"/>
  <headerFooter differentFirst="1">
    <oddHeader>&amp;R&amp;"JetBrains Mono,Normal"&amp;12Página &amp;P de &amp;N</oddHeader>
    <firstHeader>&amp;R&amp;"JetBrains Mono,Normal"&amp;12Página &amp;P de &amp;N
&amp;D
&amp;T</firstHead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CONSULTA</vt:lpstr>
      <vt:lpstr>CONSULTA!Área_de_impresión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CACERES</dc:creator>
  <cp:lastModifiedBy>CRISTIAN CACERES</cp:lastModifiedBy>
  <dcterms:created xsi:type="dcterms:W3CDTF">2024-09-26T21:19:16Z</dcterms:created>
  <dcterms:modified xsi:type="dcterms:W3CDTF">2024-09-26T21:19:21Z</dcterms:modified>
</cp:coreProperties>
</file>